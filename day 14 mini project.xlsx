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I DA MARCH TO OCTOBER\"/>
    </mc:Choice>
  </mc:AlternateContent>
  <xr:revisionPtr revIDLastSave="0" documentId="13_ncr:9_{5473F86F-92E7-460E-9088-375B1A9CA509}" xr6:coauthVersionLast="47" xr6:coauthVersionMax="47" xr10:uidLastSave="{00000000-0000-0000-0000-000000000000}"/>
  <bookViews>
    <workbookView xWindow="-120" yWindow="-120" windowWidth="20730" windowHeight="11160" activeTab="3" xr2:uid="{5D619B8F-7F11-4B20-AC6A-D6498A91D3FD}"/>
  </bookViews>
  <sheets>
    <sheet name="COVER" sheetId="3" r:id="rId1"/>
    <sheet name="MINI PROJECT 1" sheetId="1" r:id="rId2"/>
    <sheet name="Sheet1" sheetId="2" r:id="rId3"/>
    <sheet name="README" sheetId="4" r:id="rId4"/>
  </sheets>
  <calcPr calcId="0"/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B5" i="3"/>
  <c r="N5" i="2"/>
  <c r="M5" i="2"/>
  <c r="N4" i="2"/>
  <c r="M4" i="2"/>
  <c r="N3" i="2"/>
  <c r="M3" i="2"/>
  <c r="N2" i="2"/>
  <c r="M2" i="2"/>
  <c r="I5" i="2"/>
  <c r="H5" i="2"/>
  <c r="I4" i="2"/>
  <c r="H4" i="2"/>
  <c r="I3" i="2"/>
  <c r="H3" i="2"/>
  <c r="I2" i="2"/>
  <c r="H2" i="2"/>
  <c r="C2" i="2"/>
  <c r="D2" i="2"/>
  <c r="C3" i="2"/>
  <c r="D3" i="2"/>
  <c r="C4" i="2"/>
  <c r="D4" i="2"/>
  <c r="C5" i="2"/>
  <c r="D5" i="2"/>
  <c r="K22" i="1"/>
  <c r="K21" i="1"/>
  <c r="K20" i="1"/>
  <c r="K19" i="1"/>
  <c r="J22" i="1"/>
  <c r="J21" i="1"/>
  <c r="J20" i="1"/>
  <c r="J19" i="1"/>
  <c r="K15" i="1"/>
  <c r="K14" i="1"/>
  <c r="K13" i="1"/>
  <c r="K12" i="1"/>
  <c r="J15" i="1"/>
  <c r="J14" i="1"/>
  <c r="J13" i="1"/>
  <c r="J12" i="1"/>
</calcChain>
</file>

<file path=xl/sharedStrings.xml><?xml version="1.0" encoding="utf-8"?>
<sst xmlns="http://schemas.openxmlformats.org/spreadsheetml/2006/main" count="195" uniqueCount="42">
  <si>
    <t>Date</t>
  </si>
  <si>
    <t>Region</t>
  </si>
  <si>
    <t>Product_Category</t>
  </si>
  <si>
    <t>Units_Sold</t>
  </si>
  <si>
    <t>Revenue</t>
  </si>
  <si>
    <t>Discount_Percent</t>
  </si>
  <si>
    <t>East</t>
  </si>
  <si>
    <t>Electronics</t>
  </si>
  <si>
    <t>West</t>
  </si>
  <si>
    <t>Apparel</t>
  </si>
  <si>
    <t>North</t>
  </si>
  <si>
    <t>Grocery</t>
  </si>
  <si>
    <t>South</t>
  </si>
  <si>
    <t>REGION</t>
  </si>
  <si>
    <t>PRODUCT</t>
  </si>
  <si>
    <t>UNITS SOLD</t>
  </si>
  <si>
    <t xml:space="preserve">TOTAL REVENUE </t>
  </si>
  <si>
    <t>EAST</t>
  </si>
  <si>
    <t>ELECTONICS</t>
  </si>
  <si>
    <t>WEST</t>
  </si>
  <si>
    <t>NORTH</t>
  </si>
  <si>
    <t>SOUTH</t>
  </si>
  <si>
    <t>TOTAL REVENUE</t>
  </si>
  <si>
    <t>APPAREL</t>
  </si>
  <si>
    <t>GROCERY</t>
  </si>
  <si>
    <t>Sales Performance Report</t>
  </si>
  <si>
    <t>Prepared by Rahul</t>
  </si>
  <si>
    <t>Date of Preparation  =</t>
  </si>
  <si>
    <t>This report summarizes regional sales, revenue, and discounts for Electronics, Apparel, and Grocery categories.</t>
  </si>
  <si>
    <r>
      <t>Purpose of Workbook</t>
    </r>
    <r>
      <rPr>
        <sz val="11"/>
        <color theme="1"/>
        <rFont val="Calibri"/>
        <family val="2"/>
        <scheme val="minor"/>
      </rPr>
      <t xml:space="preserve"> This workbook summarizes regional sales, revenue, and discounts for Electronics, Apparel, and Grocery categories.</t>
    </r>
  </si>
  <si>
    <t>Data Structure</t>
  </si>
  <si>
    <r>
      <t xml:space="preserve">Raw data is stored in the </t>
    </r>
    <r>
      <rPr>
        <b/>
        <sz val="11"/>
        <color theme="1"/>
        <rFont val="Calibri"/>
        <family val="2"/>
        <scheme val="minor"/>
      </rPr>
      <t>Data sheet</t>
    </r>
    <r>
      <rPr>
        <sz val="11"/>
        <color theme="1"/>
        <rFont val="Calibri"/>
        <family val="2"/>
        <scheme val="minor"/>
      </rPr>
      <t>.</t>
    </r>
  </si>
  <si>
    <t>Summary tables are organized by product category and region.</t>
  </si>
  <si>
    <t>Charts visualize Units Sold vs Revenue.</t>
  </si>
  <si>
    <t>How to Update Data</t>
  </si>
  <si>
    <r>
      <t xml:space="preserve">Add new rows to the </t>
    </r>
    <r>
      <rPr>
        <b/>
        <sz val="11"/>
        <color theme="1"/>
        <rFont val="Calibri"/>
        <family val="2"/>
        <scheme val="minor"/>
      </rPr>
      <t>Data sheet</t>
    </r>
    <r>
      <rPr>
        <sz val="11"/>
        <color theme="1"/>
        <rFont val="Calibri"/>
        <family val="2"/>
        <scheme val="minor"/>
      </rPr>
      <t xml:space="preserve"> under the existing table.</t>
    </r>
  </si>
  <si>
    <t>Charts and summary formulas will auto-update.</t>
  </si>
  <si>
    <t>Do not overwrite locked formula cells.</t>
  </si>
  <si>
    <t>Charts &amp; Reports</t>
  </si>
  <si>
    <t>Cover sheet provides the report title and context.</t>
  </si>
  <si>
    <t>Charts are grouped by product category (Electronics, Apparel, Grocery).</t>
  </si>
  <si>
    <t>Use consistent formatting for presentations.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</si>
</sst>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5" tint="0.79998168889431442"/>
      </left>
      <right/>
      <top/>
      <bottom/>
      <diagonal/>
    </border>
    <border>
      <left/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/>
      <right/>
      <top/>
      <bottom style="thin">
        <color theme="5" tint="0.79998168889431442"/>
      </bottom>
      <diagonal/>
    </border>
    <border>
      <left/>
      <right/>
      <top/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NumberFormat="1" applyFont="1"/>
    <xf numFmtId="0" fontId="16" fillId="33" borderId="10" xfId="0" applyFont="1" applyFill="1" applyBorder="1"/>
    <xf numFmtId="0" fontId="16" fillId="0" borderId="10" xfId="0" applyFont="1" applyBorder="1"/>
    <xf numFmtId="166" fontId="16" fillId="0" borderId="0" xfId="0" applyNumberFormat="1" applyFont="1"/>
    <xf numFmtId="166" fontId="0" fillId="0" borderId="0" xfId="0" applyNumberFormat="1"/>
    <xf numFmtId="0" fontId="16" fillId="0" borderId="0" xfId="0" applyFont="1" applyFill="1"/>
    <xf numFmtId="0" fontId="16" fillId="34" borderId="0" xfId="0" applyFont="1" applyFill="1"/>
    <xf numFmtId="0" fontId="0" fillId="0" borderId="11" xfId="0" applyBorder="1"/>
    <xf numFmtId="0" fontId="0" fillId="0" borderId="0" xfId="0" applyBorder="1"/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14" fontId="0" fillId="0" borderId="15" xfId="0" applyNumberFormat="1" applyBorder="1"/>
    <xf numFmtId="0" fontId="0" fillId="0" borderId="16" xfId="0" applyBorder="1"/>
    <xf numFmtId="0" fontId="0" fillId="0" borderId="13" xfId="0" applyBorder="1"/>
    <xf numFmtId="0" fontId="19" fillId="0" borderId="12" xfId="0" applyFont="1" applyBorder="1"/>
    <xf numFmtId="0" fontId="20" fillId="0" borderId="14" xfId="0" applyFont="1" applyBorder="1"/>
    <xf numFmtId="0" fontId="0" fillId="0" borderId="17" xfId="0" applyBorder="1"/>
    <xf numFmtId="0" fontId="18" fillId="35" borderId="18" xfId="0" applyFont="1" applyFill="1" applyBorder="1"/>
    <xf numFmtId="0" fontId="0" fillId="0" borderId="19" xfId="0" applyBorder="1"/>
    <xf numFmtId="0" fontId="0" fillId="0" borderId="15" xfId="0" applyBorder="1"/>
    <xf numFmtId="0" fontId="0" fillId="0" borderId="20" xfId="0" applyBorder="1"/>
    <xf numFmtId="0" fontId="0" fillId="0" borderId="0" xfId="0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&quot;₹&quot;\ #,##0"/>
    </dxf>
    <dxf>
      <font>
        <b/>
      </font>
      <numFmt numFmtId="166" formatCode="&quot;₹&quot;\ #,##0"/>
    </dxf>
    <dxf>
      <font>
        <b/>
      </font>
    </dxf>
    <dxf>
      <numFmt numFmtId="166" formatCode="&quot;₹&quot;\ #,##0"/>
    </dxf>
    <dxf>
      <font>
        <b/>
      </font>
      <numFmt numFmtId="166" formatCode="&quot;₹&quot;\ #,##0"/>
    </dxf>
    <dxf>
      <font>
        <b/>
      </font>
    </dxf>
    <dxf>
      <numFmt numFmtId="166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ELECTRONICS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Sheet1!$A$2:$B$5</c:f>
              <c:multiLvlStrCache>
                <c:ptCount val="4"/>
                <c:lvl>
                  <c:pt idx="0">
                    <c:v>ELECTONICS</c:v>
                  </c:pt>
                  <c:pt idx="1">
                    <c:v>ELECTONICS</c:v>
                  </c:pt>
                  <c:pt idx="2">
                    <c:v>ELECTONICS</c:v>
                  </c:pt>
                  <c:pt idx="3">
                    <c:v>ELECTONICS</c:v>
                  </c:pt>
                </c:lvl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</c:multiLvlStrCache>
            </c:multiLvl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1706</c:v>
                </c:pt>
                <c:pt idx="1">
                  <c:v>385</c:v>
                </c:pt>
                <c:pt idx="2">
                  <c:v>632</c:v>
                </c:pt>
                <c:pt idx="3">
                  <c:v>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D-468F-8645-B76F0B42975D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TOTAL REVENUE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Sheet1!$A$2:$B$5</c:f>
              <c:multiLvlStrCache>
                <c:ptCount val="4"/>
                <c:lvl>
                  <c:pt idx="0">
                    <c:v>ELECTONICS</c:v>
                  </c:pt>
                  <c:pt idx="1">
                    <c:v>ELECTONICS</c:v>
                  </c:pt>
                  <c:pt idx="2">
                    <c:v>ELECTONICS</c:v>
                  </c:pt>
                  <c:pt idx="3">
                    <c:v>ELECTONICS</c:v>
                  </c:pt>
                </c:lvl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</c:multiLvlStrCache>
            </c:multiLvlStrRef>
          </c:cat>
          <c:val>
            <c:numRef>
              <c:f>Sheet1!$D$2:$D$5</c:f>
              <c:numCache>
                <c:formatCode>"₹"\ #,##0</c:formatCode>
                <c:ptCount val="4"/>
                <c:pt idx="0">
                  <c:v>190000</c:v>
                </c:pt>
                <c:pt idx="1">
                  <c:v>166500</c:v>
                </c:pt>
                <c:pt idx="2">
                  <c:v>126700</c:v>
                </c:pt>
                <c:pt idx="3">
                  <c:v>172500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D-468F-8645-B76F0B4297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1581096"/>
        <c:axId val="551580016"/>
      </c:barChart>
      <c:catAx>
        <c:axId val="55158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80016"/>
        <c:crosses val="autoZero"/>
        <c:auto val="1"/>
        <c:lblAlgn val="ctr"/>
        <c:lblOffset val="100"/>
        <c:noMultiLvlLbl val="0"/>
      </c:catAx>
      <c:valAx>
        <c:axId val="55158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8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APPAREL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Sheet1!$F$2:$G$5</c:f>
              <c:multiLvlStrCache>
                <c:ptCount val="4"/>
                <c:lvl>
                  <c:pt idx="0">
                    <c:v>APPAREL</c:v>
                  </c:pt>
                  <c:pt idx="1">
                    <c:v>APPAREL</c:v>
                  </c:pt>
                  <c:pt idx="2">
                    <c:v>APPAREL</c:v>
                  </c:pt>
                  <c:pt idx="3">
                    <c:v>APPAREL</c:v>
                  </c:pt>
                </c:lvl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</c:multiLvlStrCache>
            </c:multiLvlStrRef>
          </c:cat>
          <c:val>
            <c:numRef>
              <c:f>Sheet1!$H$2:$H$5</c:f>
              <c:numCache>
                <c:formatCode>General</c:formatCode>
                <c:ptCount val="4"/>
                <c:pt idx="0">
                  <c:v>425</c:v>
                </c:pt>
                <c:pt idx="1">
                  <c:v>630</c:v>
                </c:pt>
                <c:pt idx="2">
                  <c:v>911</c:v>
                </c:pt>
                <c:pt idx="3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D-45D5-8E13-D3706F4B4015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TOTAL REVENUE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Sheet1!$F$2:$G$5</c:f>
              <c:multiLvlStrCache>
                <c:ptCount val="4"/>
                <c:lvl>
                  <c:pt idx="0">
                    <c:v>APPAREL</c:v>
                  </c:pt>
                  <c:pt idx="1">
                    <c:v>APPAREL</c:v>
                  </c:pt>
                  <c:pt idx="2">
                    <c:v>APPAREL</c:v>
                  </c:pt>
                  <c:pt idx="3">
                    <c:v>APPAREL</c:v>
                  </c:pt>
                </c:lvl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</c:multiLvlStrCache>
            </c:multiLvlStrRef>
          </c:cat>
          <c:val>
            <c:numRef>
              <c:f>Sheet1!$I$2:$I$5</c:f>
              <c:numCache>
                <c:formatCode>"₹"\ #,##0</c:formatCode>
                <c:ptCount val="4"/>
                <c:pt idx="0">
                  <c:v>65100</c:v>
                </c:pt>
                <c:pt idx="1">
                  <c:v>80400</c:v>
                </c:pt>
                <c:pt idx="2">
                  <c:v>61300</c:v>
                </c:pt>
                <c:pt idx="3">
                  <c:v>77700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D-45D5-8E13-D3706F4B40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2222664"/>
        <c:axId val="422220504"/>
      </c:barChart>
      <c:catAx>
        <c:axId val="42222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20504"/>
        <c:crosses val="autoZero"/>
        <c:auto val="1"/>
        <c:lblAlgn val="ctr"/>
        <c:lblOffset val="100"/>
        <c:noMultiLvlLbl val="0"/>
      </c:catAx>
      <c:valAx>
        <c:axId val="42222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22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GROCERY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Sheet1!$K$2:$L$5</c:f>
              <c:multiLvlStrCache>
                <c:ptCount val="4"/>
                <c:lvl>
                  <c:pt idx="0">
                    <c:v>GROCERY</c:v>
                  </c:pt>
                  <c:pt idx="1">
                    <c:v>GROCERY</c:v>
                  </c:pt>
                  <c:pt idx="2">
                    <c:v>GROCERY</c:v>
                  </c:pt>
                  <c:pt idx="3">
                    <c:v>GROCERY</c:v>
                  </c:pt>
                </c:lvl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</c:multiLvlStrCache>
            </c:multiLvlStrRef>
          </c:cat>
          <c:val>
            <c:numRef>
              <c:f>Sheet1!$M$2:$M$5</c:f>
              <c:numCache>
                <c:formatCode>General</c:formatCode>
                <c:ptCount val="4"/>
                <c:pt idx="0">
                  <c:v>888</c:v>
                </c:pt>
                <c:pt idx="1">
                  <c:v>770</c:v>
                </c:pt>
                <c:pt idx="2">
                  <c:v>955</c:v>
                </c:pt>
                <c:pt idx="3">
                  <c:v>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9-4733-BCA2-038DF7C97764}"/>
            </c:ext>
          </c:extLst>
        </c:ser>
        <c:ser>
          <c:idx val="1"/>
          <c:order val="1"/>
          <c:tx>
            <c:strRef>
              <c:f>Sheet1!$N$1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Sheet1!$K$2:$L$5</c:f>
              <c:multiLvlStrCache>
                <c:ptCount val="4"/>
                <c:lvl>
                  <c:pt idx="0">
                    <c:v>GROCERY</c:v>
                  </c:pt>
                  <c:pt idx="1">
                    <c:v>GROCERY</c:v>
                  </c:pt>
                  <c:pt idx="2">
                    <c:v>GROCERY</c:v>
                  </c:pt>
                  <c:pt idx="3">
                    <c:v>GROCERY</c:v>
                  </c:pt>
                </c:lvl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</c:multiLvlStrCache>
            </c:multiLvlStrRef>
          </c:cat>
          <c:val>
            <c:numRef>
              <c:f>Sheet1!$N$2:$N$5</c:f>
              <c:numCache>
                <c:formatCode>"₹"\ #,##0</c:formatCode>
                <c:ptCount val="4"/>
                <c:pt idx="0">
                  <c:v>67800</c:v>
                </c:pt>
                <c:pt idx="1">
                  <c:v>60200</c:v>
                </c:pt>
                <c:pt idx="2">
                  <c:v>71900</c:v>
                </c:pt>
                <c:pt idx="3">
                  <c:v>68700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19-4733-BCA2-038DF7C977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299968"/>
        <c:axId val="554300328"/>
      </c:barChart>
      <c:catAx>
        <c:axId val="55429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300328"/>
        <c:crosses val="autoZero"/>
        <c:auto val="1"/>
        <c:lblAlgn val="ctr"/>
        <c:lblOffset val="100"/>
        <c:noMultiLvlLbl val="0"/>
      </c:catAx>
      <c:valAx>
        <c:axId val="55430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29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6</xdr:row>
      <xdr:rowOff>19050</xdr:rowOff>
    </xdr:from>
    <xdr:to>
      <xdr:col>3</xdr:col>
      <xdr:colOff>609600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E550C-F369-7DFE-E554-74698B7B8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828675</xdr:colOff>
      <xdr:row>6</xdr:row>
      <xdr:rowOff>23812</xdr:rowOff>
    </xdr:from>
    <xdr:to>
      <xdr:col>8</xdr:col>
      <xdr:colOff>704850</xdr:colOff>
      <xdr:row>19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34C705-D836-64A8-0D9B-B7E29F1D6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847725</xdr:colOff>
      <xdr:row>6</xdr:row>
      <xdr:rowOff>14287</xdr:rowOff>
    </xdr:from>
    <xdr:to>
      <xdr:col>14</xdr:col>
      <xdr:colOff>171450</xdr:colOff>
      <xdr:row>19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529DBC-0D84-CA09-5899-05B72BDA2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AD26CE-5993-471B-8B6F-3C5AF3389F6D}" name="hyderabadsales" displayName="hyderabadsales" ref="A1:F51" totalsRowShown="0">
  <autoFilter ref="A1:F51" xr:uid="{6FAD26CE-5993-471B-8B6F-3C5AF3389F6D}"/>
  <tableColumns count="6">
    <tableColumn id="1" xr3:uid="{3C49E971-91DF-40CA-9B78-FC7050854F99}" name="Date" dataDxfId="29"/>
    <tableColumn id="2" xr3:uid="{A547520C-998C-4058-BA8A-EFC0FF91F110}" name="Region"/>
    <tableColumn id="3" xr3:uid="{0310E1D6-0C74-4F03-BC93-B3A751D7A99E}" name="Product_Category"/>
    <tableColumn id="4" xr3:uid="{A5553C86-2ABE-43EA-B900-F7744CFCA5D9}" name="Units_Sold"/>
    <tableColumn id="5" xr3:uid="{EF220E58-B68A-4125-8688-F89D8AC2ED50}" name="Revenue" dataDxfId="10"/>
    <tableColumn id="6" xr3:uid="{E6CE715E-F3F3-4D2F-9FBD-C462110D1BA5}" name="Discount_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C90165-E885-4776-B7FE-326E57659358}" name="Apparel" displayName="Apparel" ref="H11:K15" totalsRowShown="0" headerRowDxfId="23" dataDxfId="22">
  <autoFilter ref="H11:K15" xr:uid="{44C90165-E885-4776-B7FE-326E57659358}">
    <filterColumn colId="0" hiddenButton="1"/>
    <filterColumn colId="1" hiddenButton="1"/>
    <filterColumn colId="2" hiddenButton="1"/>
    <filterColumn colId="3" hiddenButton="1"/>
  </autoFilter>
  <tableColumns count="4">
    <tableColumn id="1" xr3:uid="{8701728F-AA7F-462D-88BE-F4D829FCFDBE}" name="REGION" dataDxfId="25"/>
    <tableColumn id="2" xr3:uid="{CB2B3A12-9154-416F-9CE5-8C96D41B1D51}" name="PRODUCT" dataDxfId="24"/>
    <tableColumn id="3" xr3:uid="{D329DECF-8FA3-4EA6-8C7D-C740805FB281}" name="UNITS SOLD" dataDxfId="9"/>
    <tableColumn id="4" xr3:uid="{5E63E1C1-BE4F-4765-9D4D-E5C74BC281FF}" name="TOTAL REVENUE 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50C06E-976F-4BD1-818D-7F0E72E867B1}" name="GROCERY" displayName="GROCERY" ref="H18:K22" totalsRowShown="0" headerRowDxfId="21">
  <autoFilter ref="H18:K22" xr:uid="{FC50C06E-976F-4BD1-818D-7F0E72E867B1}">
    <filterColumn colId="0" hiddenButton="1"/>
    <filterColumn colId="1" hiddenButton="1"/>
    <filterColumn colId="2" hiddenButton="1"/>
    <filterColumn colId="3" hiddenButton="1"/>
  </autoFilter>
  <tableColumns count="4">
    <tableColumn id="1" xr3:uid="{FB74EBBC-4E3B-4CC2-8466-E789748033B4}" name="REGION"/>
    <tableColumn id="2" xr3:uid="{2FC5AF84-9F3B-411A-A0F1-D807723B4A42}" name="PRODUCT"/>
    <tableColumn id="3" xr3:uid="{C91B8436-8655-4350-AE33-ECE12F4E361A}" name="UNITS SOLD"/>
    <tableColumn id="4" xr3:uid="{29F52192-338D-404D-AE56-38616D5D3882}" name="TOTAL REVENUE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E68CC7-3C9F-4611-AA07-2A581E7A0B36}" name="ELECTONICS" displayName="ELECTONICS" ref="H2:K6" totalsRowShown="0" headerRowDxfId="1" dataDxfId="26">
  <autoFilter ref="H2:K6" xr:uid="{2AE68CC7-3C9F-4611-AA07-2A581E7A0B36}">
    <filterColumn colId="0" hiddenButton="1"/>
    <filterColumn colId="1" hiddenButton="1"/>
    <filterColumn colId="2" hiddenButton="1"/>
    <filterColumn colId="3" hiddenButton="1"/>
  </autoFilter>
  <tableColumns count="4">
    <tableColumn id="1" xr3:uid="{90667F47-7CF5-4F4A-A504-823D4D156CC0}" name="REGION" dataDxfId="28"/>
    <tableColumn id="2" xr3:uid="{131593B6-20EB-4283-BB86-FDA9E07ABB51}" name="PRODUCT" dataDxfId="27"/>
    <tableColumn id="3" xr3:uid="{82E87F50-615E-4FC8-B4F5-B6DF9D8FBAC4}" name="UNITS SOLD" dataDxfId="12"/>
    <tableColumn id="4" xr3:uid="{8479D6B5-6A11-4154-8593-55C66F44E980}" name="TOTAL REVENUE " dataDxfId="11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F1CCD6-6B01-4E5D-A5C4-CDD908E42F2A}" name="ELECTONICS7" displayName="ELECTONICS7" ref="A1:D5" totalsRowShown="0" headerRowDxfId="0" dataDxfId="20">
  <autoFilter ref="A1:D5" xr:uid="{B2F1CCD6-6B01-4E5D-A5C4-CDD908E42F2A}">
    <filterColumn colId="0" hiddenButton="1"/>
    <filterColumn colId="1" hiddenButton="1"/>
    <filterColumn colId="2" hiddenButton="1"/>
    <filterColumn colId="3" hiddenButton="1"/>
  </autoFilter>
  <tableColumns count="4">
    <tableColumn id="1" xr3:uid="{AE1236F5-0DB4-464D-B60F-D13196EAA9AB}" name="REGION" dataDxfId="19"/>
    <tableColumn id="2" xr3:uid="{6B4BB4AA-215E-4C28-9FF5-D8507DB19BDD}" name="PRODUCT" dataDxfId="18"/>
    <tableColumn id="3" xr3:uid="{8BB8B8E8-8515-4C45-84A1-31C6EBB29F26}" name="UNITS SOLD" dataDxfId="3"/>
    <tableColumn id="4" xr3:uid="{D4FA2002-56B2-4113-A34F-66B9455C1D7B}" name="TOTAL REVENUE 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E4A9A7-C11A-4270-96AF-79F2C4E86FE5}" name="Apparel8" displayName="Apparel8" ref="F1:I5" totalsRowShown="0" headerRowDxfId="17" dataDxfId="16">
  <autoFilter ref="F1:I5" xr:uid="{19E4A9A7-C11A-4270-96AF-79F2C4E86FE5}">
    <filterColumn colId="0" hiddenButton="1"/>
    <filterColumn colId="1" hiddenButton="1"/>
    <filterColumn colId="2" hiddenButton="1"/>
    <filterColumn colId="3" hiddenButton="1"/>
  </autoFilter>
  <tableColumns count="4">
    <tableColumn id="1" xr3:uid="{366D9D8A-80A1-4FB1-8B95-AB21B97D5DC1}" name="REGION" dataDxfId="15"/>
    <tableColumn id="2" xr3:uid="{95376CB3-8238-4B30-BD25-FD2AC20FB97C}" name="PRODUCT" dataDxfId="14"/>
    <tableColumn id="3" xr3:uid="{D8CA0B98-A332-408F-B3D0-B0DF9E1976DC}" name="UNITS SOLD" dataDxfId="6"/>
    <tableColumn id="4" xr3:uid="{60D92F2F-F799-41C4-94F8-A695DD3B8D06}" name="TOTAL REVENUE 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9E96A8-84C3-4AD7-BF1C-54ABC333ED5B}" name="GROCERY9" displayName="GROCERY9" ref="K1:N5" totalsRowShown="0" headerRowDxfId="13">
  <autoFilter ref="K1:N5" xr:uid="{2D9E96A8-84C3-4AD7-BF1C-54ABC333ED5B}">
    <filterColumn colId="0" hiddenButton="1"/>
    <filterColumn colId="1" hiddenButton="1"/>
    <filterColumn colId="2" hiddenButton="1"/>
    <filterColumn colId="3" hiddenButton="1"/>
  </autoFilter>
  <tableColumns count="4">
    <tableColumn id="1" xr3:uid="{DEE6B0BB-134B-44F4-98AC-D9778E8460F3}" name="REGION"/>
    <tableColumn id="2" xr3:uid="{1938CE25-3060-4567-B284-00D08C205A05}" name="PRODUCT"/>
    <tableColumn id="3" xr3:uid="{7DE85A2A-226F-484E-B59C-6E1D0F68DDC3}" name="UNITS SOLD"/>
    <tableColumn id="4" xr3:uid="{75FC75C6-E129-4C36-A16D-4D7C5E28EDEF}" name="TOTAL REVENU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612F-DA64-454F-89E5-58A92EE10B36}">
  <dimension ref="A1:H10"/>
  <sheetViews>
    <sheetView workbookViewId="0">
      <selection activeCell="I10" sqref="I10"/>
    </sheetView>
  </sheetViews>
  <sheetFormatPr defaultRowHeight="15" x14ac:dyDescent="0.25"/>
  <cols>
    <col min="1" max="1" width="41.140625" customWidth="1"/>
    <col min="2" max="2" width="14.7109375" customWidth="1"/>
  </cols>
  <sheetData>
    <row r="1" spans="1:8" ht="26.25" x14ac:dyDescent="0.4">
      <c r="A1" s="21" t="s">
        <v>25</v>
      </c>
      <c r="B1" s="20"/>
    </row>
    <row r="2" spans="1:8" x14ac:dyDescent="0.25">
      <c r="A2" s="10"/>
    </row>
    <row r="3" spans="1:8" ht="18.75" x14ac:dyDescent="0.3">
      <c r="A3" s="19" t="s">
        <v>26</v>
      </c>
    </row>
    <row r="4" spans="1:8" x14ac:dyDescent="0.25">
      <c r="A4" s="17"/>
    </row>
    <row r="5" spans="1:8" ht="15.75" x14ac:dyDescent="0.25">
      <c r="A5" s="18" t="s">
        <v>27</v>
      </c>
      <c r="B5" s="15">
        <f ca="1">TODAY()</f>
        <v>46126</v>
      </c>
      <c r="C5" s="16"/>
    </row>
    <row r="6" spans="1:8" x14ac:dyDescent="0.25">
      <c r="A6" s="17"/>
      <c r="B6" s="17"/>
      <c r="F6" s="11"/>
    </row>
    <row r="7" spans="1:8" ht="15.75" x14ac:dyDescent="0.25">
      <c r="A7" s="12" t="s">
        <v>28</v>
      </c>
      <c r="B7" s="13"/>
      <c r="C7" s="13"/>
      <c r="D7" s="13"/>
      <c r="E7" s="13"/>
      <c r="F7" s="13"/>
      <c r="G7" s="13"/>
      <c r="H7" s="14"/>
    </row>
    <row r="8" spans="1:8" x14ac:dyDescent="0.25">
      <c r="A8" s="23"/>
    </row>
    <row r="9" spans="1:8" x14ac:dyDescent="0.25">
      <c r="A9" s="11"/>
      <c r="B9" s="24"/>
    </row>
    <row r="10" spans="1:8" x14ac:dyDescent="0.25">
      <c r="B10" s="22"/>
    </row>
  </sheetData>
  <mergeCells count="1">
    <mergeCell ref="A7:H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2688-DB83-4B72-8665-C4428795BC9A}">
  <dimension ref="A1:K51"/>
  <sheetViews>
    <sheetView topLeftCell="B1" zoomScaleNormal="100" workbookViewId="0">
      <pane ySplit="1" topLeftCell="A2" activePane="bottomLeft" state="frozen"/>
      <selection activeCell="B1" sqref="B1"/>
      <selection pane="bottomLeft" activeCell="L7" sqref="L7"/>
    </sheetView>
  </sheetViews>
  <sheetFormatPr defaultRowHeight="15" x14ac:dyDescent="0.25"/>
  <cols>
    <col min="1" max="1" width="16" customWidth="1"/>
    <col min="2" max="2" width="9.28515625" customWidth="1"/>
    <col min="3" max="3" width="18.85546875" customWidth="1"/>
    <col min="4" max="4" width="17" customWidth="1"/>
    <col min="5" max="5" width="16.85546875" customWidth="1"/>
    <col min="6" max="6" width="18.7109375" customWidth="1"/>
    <col min="8" max="8" width="18.5703125" customWidth="1"/>
    <col min="9" max="9" width="11.85546875" customWidth="1"/>
    <col min="10" max="10" width="13.5703125" customWidth="1"/>
    <col min="11" max="11" width="17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25">
      <c r="A2" s="1">
        <v>45306</v>
      </c>
      <c r="B2" t="s">
        <v>6</v>
      </c>
      <c r="C2" t="s">
        <v>7</v>
      </c>
      <c r="D2">
        <v>520</v>
      </c>
      <c r="E2" s="7">
        <v>45000</v>
      </c>
      <c r="F2">
        <v>5</v>
      </c>
      <c r="H2" s="9" t="s">
        <v>13</v>
      </c>
      <c r="I2" s="9" t="s">
        <v>14</v>
      </c>
      <c r="J2" s="9" t="s">
        <v>15</v>
      </c>
      <c r="K2" s="9" t="s">
        <v>16</v>
      </c>
    </row>
    <row r="3" spans="1:11" x14ac:dyDescent="0.25">
      <c r="A3" s="1">
        <v>45307</v>
      </c>
      <c r="B3" t="s">
        <v>8</v>
      </c>
      <c r="C3" t="s">
        <v>9</v>
      </c>
      <c r="D3">
        <v>185</v>
      </c>
      <c r="E3" s="7">
        <v>12500</v>
      </c>
      <c r="F3">
        <v>8</v>
      </c>
      <c r="H3" s="2" t="s">
        <v>17</v>
      </c>
      <c r="I3" s="2" t="s">
        <v>18</v>
      </c>
      <c r="J3" s="2">
        <f>SUMIFS(hyderabadsales[Units_Sold],hyderabadsales[Region],"EAST",hyderabadsales[Product_Category],"electronics")</f>
        <v>1706</v>
      </c>
      <c r="K3" s="6">
        <f>SUMIFS(hyderabadsales[Revenue],hyderabadsales[Region],"EAST",hyderabadsales[Product_Category],"electronics")</f>
        <v>190000</v>
      </c>
    </row>
    <row r="4" spans="1:11" x14ac:dyDescent="0.25">
      <c r="A4" s="1">
        <v>45308</v>
      </c>
      <c r="B4" t="s">
        <v>10</v>
      </c>
      <c r="C4" t="s">
        <v>11</v>
      </c>
      <c r="D4">
        <v>250</v>
      </c>
      <c r="E4" s="7">
        <v>18500</v>
      </c>
      <c r="F4">
        <v>2</v>
      </c>
      <c r="H4" s="2" t="s">
        <v>19</v>
      </c>
      <c r="I4" s="2" t="s">
        <v>18</v>
      </c>
      <c r="J4" s="2">
        <f>SUMIFS(hyderabadsales[Units_Sold],hyderabadsales[Region],"WEST",hyderabadsales[Product_Category],"electronics")</f>
        <v>385</v>
      </c>
      <c r="K4" s="6">
        <f>SUMIFS(hyderabadsales[Revenue],hyderabadsales[Region],"WEST",hyderabadsales[Product_Category],"electronics")</f>
        <v>166500</v>
      </c>
    </row>
    <row r="5" spans="1:11" x14ac:dyDescent="0.25">
      <c r="A5" s="1">
        <v>45309</v>
      </c>
      <c r="B5" t="s">
        <v>12</v>
      </c>
      <c r="C5" t="s">
        <v>7</v>
      </c>
      <c r="D5">
        <v>95</v>
      </c>
      <c r="E5" s="7">
        <v>38000</v>
      </c>
      <c r="F5">
        <v>6</v>
      </c>
      <c r="H5" s="2" t="s">
        <v>20</v>
      </c>
      <c r="I5" s="2" t="s">
        <v>18</v>
      </c>
      <c r="J5" s="2">
        <f>SUMIFS(hyderabadsales[Units_Sold],hyderabadsales[Region],"NORTH",hyderabadsales[Product_Category],"electronics")</f>
        <v>632</v>
      </c>
      <c r="K5" s="6">
        <f>SUMIFS(hyderabadsales[Revenue],hyderabadsales[Region],"NORTH",hyderabadsales[Product_Category],"electronics")</f>
        <v>126700</v>
      </c>
    </row>
    <row r="6" spans="1:11" x14ac:dyDescent="0.25">
      <c r="A6" s="1">
        <v>45310</v>
      </c>
      <c r="B6" t="s">
        <v>6</v>
      </c>
      <c r="C6" t="s">
        <v>9</v>
      </c>
      <c r="D6">
        <v>110</v>
      </c>
      <c r="E6" s="7">
        <v>16500</v>
      </c>
      <c r="F6">
        <v>7</v>
      </c>
      <c r="H6" s="2" t="s">
        <v>21</v>
      </c>
      <c r="I6" s="2" t="s">
        <v>18</v>
      </c>
      <c r="J6" s="3">
        <f>SUMIFS(hyderabadsales[Units_Sold],hyderabadsales[Region],"SOUTH",hyderabadsales[Product_Category],"electronics")</f>
        <v>581</v>
      </c>
      <c r="K6" s="6">
        <f>SUMIFS(hyderabadsales[Revenue],hyderabadsales[Region],"SOUTH",hyderabadsales[Product_Category],"electronics")</f>
        <v>172500</v>
      </c>
    </row>
    <row r="7" spans="1:11" x14ac:dyDescent="0.25">
      <c r="A7" s="1">
        <v>45311</v>
      </c>
      <c r="B7" t="s">
        <v>8</v>
      </c>
      <c r="C7" t="s">
        <v>11</v>
      </c>
      <c r="D7">
        <v>180</v>
      </c>
      <c r="E7" s="7">
        <v>14200</v>
      </c>
      <c r="F7">
        <v>3</v>
      </c>
    </row>
    <row r="8" spans="1:11" x14ac:dyDescent="0.25">
      <c r="A8" s="1">
        <v>45312</v>
      </c>
      <c r="B8" t="s">
        <v>10</v>
      </c>
      <c r="C8" t="s">
        <v>7</v>
      </c>
      <c r="D8">
        <v>375</v>
      </c>
      <c r="E8" s="7">
        <v>28500</v>
      </c>
      <c r="F8">
        <v>4</v>
      </c>
    </row>
    <row r="9" spans="1:11" x14ac:dyDescent="0.25">
      <c r="A9" s="1">
        <v>45313</v>
      </c>
      <c r="B9" t="s">
        <v>12</v>
      </c>
      <c r="C9" t="s">
        <v>9</v>
      </c>
      <c r="D9">
        <v>137</v>
      </c>
      <c r="E9" s="7">
        <v>19500</v>
      </c>
      <c r="F9">
        <v>9</v>
      </c>
    </row>
    <row r="10" spans="1:11" x14ac:dyDescent="0.25">
      <c r="A10" s="1">
        <v>45314</v>
      </c>
      <c r="B10" t="s">
        <v>6</v>
      </c>
      <c r="C10" t="s">
        <v>11</v>
      </c>
      <c r="D10">
        <v>230</v>
      </c>
      <c r="E10" s="7">
        <v>16800</v>
      </c>
      <c r="F10">
        <v>1</v>
      </c>
    </row>
    <row r="11" spans="1:11" x14ac:dyDescent="0.25">
      <c r="A11" s="1">
        <v>45315</v>
      </c>
      <c r="B11" t="s">
        <v>8</v>
      </c>
      <c r="C11" t="s">
        <v>7</v>
      </c>
      <c r="D11">
        <v>105</v>
      </c>
      <c r="E11" s="7">
        <v>42000</v>
      </c>
      <c r="F11">
        <v>5</v>
      </c>
      <c r="H11" s="2" t="s">
        <v>13</v>
      </c>
      <c r="I11" s="2" t="s">
        <v>14</v>
      </c>
      <c r="J11" s="2" t="s">
        <v>15</v>
      </c>
      <c r="K11" s="2" t="s">
        <v>16</v>
      </c>
    </row>
    <row r="12" spans="1:11" x14ac:dyDescent="0.25">
      <c r="A12" s="1">
        <v>45316</v>
      </c>
      <c r="B12" t="s">
        <v>10</v>
      </c>
      <c r="C12" t="s">
        <v>9</v>
      </c>
      <c r="D12">
        <v>565</v>
      </c>
      <c r="E12" s="7">
        <v>14800</v>
      </c>
      <c r="F12">
        <v>6</v>
      </c>
      <c r="H12" s="2" t="s">
        <v>17</v>
      </c>
      <c r="I12" s="2" t="s">
        <v>23</v>
      </c>
      <c r="J12" s="2">
        <f>SUMIFS(hyderabadsales[Units_Sold],hyderabadsales[Region],"EAST",hyderabadsales[Product_Category],"Apparel")</f>
        <v>425</v>
      </c>
      <c r="K12" s="6">
        <f>SUMIFS(hyderabadsales[Revenue],hyderabadsales[Region],"EAST",hyderabadsales[Product_Category],"apparel")</f>
        <v>65100</v>
      </c>
    </row>
    <row r="13" spans="1:11" x14ac:dyDescent="0.25">
      <c r="A13" s="1">
        <v>45317</v>
      </c>
      <c r="B13" t="s">
        <v>12</v>
      </c>
      <c r="C13" t="s">
        <v>11</v>
      </c>
      <c r="D13">
        <v>200</v>
      </c>
      <c r="E13" s="7">
        <v>15600</v>
      </c>
      <c r="F13">
        <v>2</v>
      </c>
      <c r="H13" s="2" t="s">
        <v>19</v>
      </c>
      <c r="I13" s="2" t="s">
        <v>23</v>
      </c>
      <c r="J13" s="2">
        <f>SUMIFS(hyderabadsales[Units_Sold],hyderabadsales[Region],"west",hyderabadsales[Product_Category],"Apparel")</f>
        <v>630</v>
      </c>
      <c r="K13" s="6">
        <f>SUMIFS(hyderabadsales[Revenue],hyderabadsales[Region],"west",hyderabadsales[Product_Category],"apparel")</f>
        <v>80400</v>
      </c>
    </row>
    <row r="14" spans="1:11" x14ac:dyDescent="0.25">
      <c r="A14" s="1">
        <v>45318</v>
      </c>
      <c r="B14" t="s">
        <v>6</v>
      </c>
      <c r="C14" t="s">
        <v>7</v>
      </c>
      <c r="D14">
        <v>898</v>
      </c>
      <c r="E14" s="7">
        <v>33500</v>
      </c>
      <c r="F14">
        <v>7</v>
      </c>
      <c r="H14" s="2" t="s">
        <v>20</v>
      </c>
      <c r="I14" s="2" t="s">
        <v>23</v>
      </c>
      <c r="J14" s="2">
        <f>SUMIFS(hyderabadsales[Units_Sold],hyderabadsales[Region],"north",hyderabadsales[Product_Category],"Apparel")</f>
        <v>911</v>
      </c>
      <c r="K14" s="6">
        <f>SUMIFS(hyderabadsales[Revenue],hyderabadsales[Region],"north",hyderabadsales[Product_Category],"apparel")</f>
        <v>61300</v>
      </c>
    </row>
    <row r="15" spans="1:11" x14ac:dyDescent="0.25">
      <c r="A15" s="1">
        <v>45319</v>
      </c>
      <c r="B15" t="s">
        <v>8</v>
      </c>
      <c r="C15" t="s">
        <v>9</v>
      </c>
      <c r="D15">
        <v>116</v>
      </c>
      <c r="E15" s="7">
        <v>17200</v>
      </c>
      <c r="F15">
        <v>8</v>
      </c>
      <c r="H15" s="2" t="s">
        <v>21</v>
      </c>
      <c r="I15" s="2" t="s">
        <v>23</v>
      </c>
      <c r="J15" s="3">
        <f>SUMIFS(hyderabadsales[Units_Sold],hyderabadsales[Region],"south",hyderabadsales[Product_Category],"Apparel")</f>
        <v>525</v>
      </c>
      <c r="K15" s="6">
        <f>SUMIFS(hyderabadsales[Revenue],hyderabadsales[Region],"south",hyderabadsales[Product_Category],"apparel")</f>
        <v>77700</v>
      </c>
    </row>
    <row r="16" spans="1:11" x14ac:dyDescent="0.25">
      <c r="A16" s="1">
        <v>45320</v>
      </c>
      <c r="B16" t="s">
        <v>10</v>
      </c>
      <c r="C16" t="s">
        <v>11</v>
      </c>
      <c r="D16">
        <v>235</v>
      </c>
      <c r="E16" s="7">
        <v>17900</v>
      </c>
      <c r="F16">
        <v>3</v>
      </c>
    </row>
    <row r="17" spans="1:11" x14ac:dyDescent="0.25">
      <c r="A17" s="1">
        <v>45321</v>
      </c>
      <c r="B17" t="s">
        <v>12</v>
      </c>
      <c r="C17" t="s">
        <v>7</v>
      </c>
      <c r="D17">
        <v>261</v>
      </c>
      <c r="E17" s="7">
        <v>44800</v>
      </c>
      <c r="F17">
        <v>4</v>
      </c>
    </row>
    <row r="18" spans="1:11" x14ac:dyDescent="0.25">
      <c r="A18" s="1">
        <v>45322</v>
      </c>
      <c r="B18" t="s">
        <v>6</v>
      </c>
      <c r="C18" t="s">
        <v>9</v>
      </c>
      <c r="D18">
        <v>102</v>
      </c>
      <c r="E18" s="7">
        <v>15900</v>
      </c>
      <c r="F18">
        <v>5</v>
      </c>
      <c r="H18" s="2" t="s">
        <v>13</v>
      </c>
      <c r="I18" s="2" t="s">
        <v>14</v>
      </c>
      <c r="J18" s="2" t="s">
        <v>15</v>
      </c>
      <c r="K18" s="2" t="s">
        <v>22</v>
      </c>
    </row>
    <row r="19" spans="1:11" x14ac:dyDescent="0.25">
      <c r="A19" s="1">
        <v>45323</v>
      </c>
      <c r="B19" t="s">
        <v>8</v>
      </c>
      <c r="C19" t="s">
        <v>11</v>
      </c>
      <c r="D19">
        <v>195</v>
      </c>
      <c r="E19" s="7">
        <v>15200</v>
      </c>
      <c r="F19">
        <v>2</v>
      </c>
      <c r="H19" s="4" t="s">
        <v>17</v>
      </c>
      <c r="I19" t="s">
        <v>24</v>
      </c>
      <c r="J19">
        <f>SUMIFS(hyderabadsales[Units_Sold],hyderabadsales[Region],"EAST",hyderabadsales[Product_Category],"GROCERY")</f>
        <v>888</v>
      </c>
      <c r="K19" s="7">
        <f>SUMIFS(hyderabadsales[Revenue],hyderabadsales[Region],"EAST",hyderabadsales[Product_Category],"GROCERY")</f>
        <v>67800</v>
      </c>
    </row>
    <row r="20" spans="1:11" x14ac:dyDescent="0.25">
      <c r="A20" s="1">
        <v>45324</v>
      </c>
      <c r="B20" t="s">
        <v>10</v>
      </c>
      <c r="C20" t="s">
        <v>7</v>
      </c>
      <c r="D20">
        <v>82</v>
      </c>
      <c r="E20" s="7">
        <v>31200</v>
      </c>
      <c r="F20">
        <v>6</v>
      </c>
      <c r="H20" s="5" t="s">
        <v>19</v>
      </c>
      <c r="I20" t="s">
        <v>24</v>
      </c>
      <c r="J20">
        <f>SUMIFS(hyderabadsales[Units_Sold],hyderabadsales[Region],"WEST",hyderabadsales[Product_Category],"GROCERY")</f>
        <v>770</v>
      </c>
      <c r="K20" s="7">
        <f>SUMIFS(hyderabadsales[Revenue],hyderabadsales[Region],"WEST",hyderabadsales[Product_Category],"GROCERY")</f>
        <v>60200</v>
      </c>
    </row>
    <row r="21" spans="1:11" x14ac:dyDescent="0.25">
      <c r="A21" s="1">
        <v>45325</v>
      </c>
      <c r="B21" t="s">
        <v>12</v>
      </c>
      <c r="C21" t="s">
        <v>9</v>
      </c>
      <c r="D21">
        <v>125</v>
      </c>
      <c r="E21" s="7">
        <v>18800</v>
      </c>
      <c r="F21">
        <v>9</v>
      </c>
      <c r="H21" s="4" t="s">
        <v>20</v>
      </c>
      <c r="I21" t="s">
        <v>24</v>
      </c>
      <c r="J21">
        <f>SUMIFS(hyderabadsales[Units_Sold],hyderabadsales[Region],"NORTH",hyderabadsales[Product_Category],"GROCERY")</f>
        <v>955</v>
      </c>
      <c r="K21" s="7">
        <f>SUMIFS(hyderabadsales[Revenue],hyderabadsales[Region],"NORTH",hyderabadsales[Product_Category],"GROCERY")</f>
        <v>71900</v>
      </c>
    </row>
    <row r="22" spans="1:11" x14ac:dyDescent="0.25">
      <c r="A22" s="1">
        <v>45326</v>
      </c>
      <c r="B22" t="s">
        <v>6</v>
      </c>
      <c r="C22" t="s">
        <v>11</v>
      </c>
      <c r="D22">
        <v>210</v>
      </c>
      <c r="E22" s="7">
        <v>16400</v>
      </c>
      <c r="F22">
        <v>1</v>
      </c>
      <c r="H22" s="5" t="s">
        <v>21</v>
      </c>
      <c r="I22" t="s">
        <v>24</v>
      </c>
      <c r="J22">
        <f>SUMIFS(hyderabadsales[Units_Sold],hyderabadsales[Region],"SOUTH",hyderabadsales[Product_Category],"GROCERY")</f>
        <v>887</v>
      </c>
      <c r="K22" s="7">
        <f>SUMIFS(hyderabadsales[Revenue],hyderabadsales[Region],"SOUTH",hyderabadsales[Product_Category],"GROCERY")</f>
        <v>68700</v>
      </c>
    </row>
    <row r="23" spans="1:11" x14ac:dyDescent="0.25">
      <c r="A23" s="1">
        <v>45327</v>
      </c>
      <c r="B23" t="s">
        <v>8</v>
      </c>
      <c r="C23" t="s">
        <v>7</v>
      </c>
      <c r="D23">
        <v>68</v>
      </c>
      <c r="E23" s="7">
        <v>39500</v>
      </c>
      <c r="F23">
        <v>5</v>
      </c>
    </row>
    <row r="24" spans="1:11" x14ac:dyDescent="0.25">
      <c r="A24" s="1">
        <v>45328</v>
      </c>
      <c r="B24" t="s">
        <v>10</v>
      </c>
      <c r="C24" t="s">
        <v>9</v>
      </c>
      <c r="D24">
        <v>88</v>
      </c>
      <c r="E24" s="7">
        <v>13500</v>
      </c>
      <c r="F24">
        <v>7</v>
      </c>
    </row>
    <row r="25" spans="1:11" x14ac:dyDescent="0.25">
      <c r="A25" s="1">
        <v>45329</v>
      </c>
      <c r="B25" t="s">
        <v>12</v>
      </c>
      <c r="C25" t="s">
        <v>11</v>
      </c>
      <c r="D25">
        <v>240</v>
      </c>
      <c r="E25" s="7">
        <v>18200</v>
      </c>
      <c r="F25">
        <v>3</v>
      </c>
    </row>
    <row r="26" spans="1:11" x14ac:dyDescent="0.25">
      <c r="A26" s="1">
        <v>45330</v>
      </c>
      <c r="B26" t="s">
        <v>6</v>
      </c>
      <c r="C26" t="s">
        <v>7</v>
      </c>
      <c r="D26">
        <v>115</v>
      </c>
      <c r="E26" s="7">
        <v>43500</v>
      </c>
      <c r="F26">
        <v>4</v>
      </c>
    </row>
    <row r="27" spans="1:11" x14ac:dyDescent="0.25">
      <c r="A27" s="1">
        <v>45331</v>
      </c>
      <c r="B27" t="s">
        <v>8</v>
      </c>
      <c r="C27" t="s">
        <v>9</v>
      </c>
      <c r="D27">
        <v>120</v>
      </c>
      <c r="E27" s="7">
        <v>18000</v>
      </c>
      <c r="F27">
        <v>6</v>
      </c>
    </row>
    <row r="28" spans="1:11" x14ac:dyDescent="0.25">
      <c r="A28" s="1">
        <v>45332</v>
      </c>
      <c r="B28" t="s">
        <v>10</v>
      </c>
      <c r="C28" t="s">
        <v>11</v>
      </c>
      <c r="D28">
        <v>225</v>
      </c>
      <c r="E28" s="7">
        <v>17100</v>
      </c>
      <c r="F28">
        <v>2</v>
      </c>
    </row>
    <row r="29" spans="1:11" x14ac:dyDescent="0.25">
      <c r="A29" s="1">
        <v>45333</v>
      </c>
      <c r="B29" t="s">
        <v>12</v>
      </c>
      <c r="C29" t="s">
        <v>7</v>
      </c>
      <c r="D29">
        <v>105</v>
      </c>
      <c r="E29" s="7">
        <v>42200</v>
      </c>
      <c r="F29">
        <v>5</v>
      </c>
    </row>
    <row r="30" spans="1:11" x14ac:dyDescent="0.25">
      <c r="A30" s="1">
        <v>45334</v>
      </c>
      <c r="B30" t="s">
        <v>6</v>
      </c>
      <c r="C30" t="s">
        <v>9</v>
      </c>
      <c r="D30">
        <v>98</v>
      </c>
      <c r="E30" s="7">
        <v>15200</v>
      </c>
      <c r="F30">
        <v>8</v>
      </c>
    </row>
    <row r="31" spans="1:11" x14ac:dyDescent="0.25">
      <c r="A31" s="1">
        <v>45335</v>
      </c>
      <c r="B31" t="s">
        <v>8</v>
      </c>
      <c r="C31" t="s">
        <v>11</v>
      </c>
      <c r="D31">
        <v>205</v>
      </c>
      <c r="E31" s="7">
        <v>15900</v>
      </c>
      <c r="F31">
        <v>3</v>
      </c>
    </row>
    <row r="32" spans="1:11" x14ac:dyDescent="0.25">
      <c r="A32" s="1">
        <v>45336</v>
      </c>
      <c r="B32" t="s">
        <v>10</v>
      </c>
      <c r="C32" t="s">
        <v>7</v>
      </c>
      <c r="D32">
        <v>90</v>
      </c>
      <c r="E32" s="7">
        <v>34500</v>
      </c>
      <c r="F32">
        <v>4</v>
      </c>
    </row>
    <row r="33" spans="1:6" x14ac:dyDescent="0.25">
      <c r="A33" s="1">
        <v>45337</v>
      </c>
      <c r="B33" t="s">
        <v>12</v>
      </c>
      <c r="C33" t="s">
        <v>9</v>
      </c>
      <c r="D33">
        <v>135</v>
      </c>
      <c r="E33" s="7">
        <v>20200</v>
      </c>
      <c r="F33">
        <v>7</v>
      </c>
    </row>
    <row r="34" spans="1:6" x14ac:dyDescent="0.25">
      <c r="A34" s="1">
        <v>45338</v>
      </c>
      <c r="B34" t="s">
        <v>6</v>
      </c>
      <c r="C34" t="s">
        <v>11</v>
      </c>
      <c r="D34">
        <v>230</v>
      </c>
      <c r="E34" s="7">
        <v>17600</v>
      </c>
      <c r="F34">
        <v>2</v>
      </c>
    </row>
    <row r="35" spans="1:6" x14ac:dyDescent="0.25">
      <c r="A35" s="1">
        <v>45339</v>
      </c>
      <c r="B35" t="s">
        <v>8</v>
      </c>
      <c r="C35" t="s">
        <v>7</v>
      </c>
      <c r="D35">
        <v>110</v>
      </c>
      <c r="E35" s="7">
        <v>44000</v>
      </c>
      <c r="F35">
        <v>6</v>
      </c>
    </row>
    <row r="36" spans="1:6" x14ac:dyDescent="0.25">
      <c r="A36" s="1">
        <v>45340</v>
      </c>
      <c r="B36" t="s">
        <v>10</v>
      </c>
      <c r="C36" t="s">
        <v>9</v>
      </c>
      <c r="D36">
        <v>105</v>
      </c>
      <c r="E36" s="7">
        <v>16200</v>
      </c>
      <c r="F36">
        <v>5</v>
      </c>
    </row>
    <row r="37" spans="1:6" x14ac:dyDescent="0.25">
      <c r="A37" s="1">
        <v>45341</v>
      </c>
      <c r="B37" t="s">
        <v>12</v>
      </c>
      <c r="C37" t="s">
        <v>11</v>
      </c>
      <c r="D37">
        <v>215</v>
      </c>
      <c r="E37" s="7">
        <v>16800</v>
      </c>
      <c r="F37">
        <v>1</v>
      </c>
    </row>
    <row r="38" spans="1:6" x14ac:dyDescent="0.25">
      <c r="A38" s="1">
        <v>45342</v>
      </c>
      <c r="B38" t="s">
        <v>6</v>
      </c>
      <c r="C38" t="s">
        <v>7</v>
      </c>
      <c r="D38">
        <v>78</v>
      </c>
      <c r="E38" s="7">
        <v>29800</v>
      </c>
      <c r="F38">
        <v>8</v>
      </c>
    </row>
    <row r="39" spans="1:6" x14ac:dyDescent="0.25">
      <c r="A39" s="1">
        <v>45343</v>
      </c>
      <c r="B39" t="s">
        <v>8</v>
      </c>
      <c r="C39" t="s">
        <v>9</v>
      </c>
      <c r="D39">
        <v>92</v>
      </c>
      <c r="E39" s="7">
        <v>14500</v>
      </c>
      <c r="F39">
        <v>9</v>
      </c>
    </row>
    <row r="40" spans="1:6" x14ac:dyDescent="0.25">
      <c r="A40" s="1">
        <v>45344</v>
      </c>
      <c r="B40" t="s">
        <v>10</v>
      </c>
      <c r="C40" t="s">
        <v>11</v>
      </c>
      <c r="D40">
        <v>245</v>
      </c>
      <c r="E40" s="7">
        <v>18400</v>
      </c>
      <c r="F40">
        <v>3</v>
      </c>
    </row>
    <row r="41" spans="1:6" x14ac:dyDescent="0.25">
      <c r="A41" s="1">
        <v>45345</v>
      </c>
      <c r="B41" t="s">
        <v>12</v>
      </c>
      <c r="C41" t="s">
        <v>7</v>
      </c>
      <c r="D41">
        <v>120</v>
      </c>
      <c r="E41" s="7">
        <v>47500</v>
      </c>
      <c r="F41">
        <v>4</v>
      </c>
    </row>
    <row r="42" spans="1:6" x14ac:dyDescent="0.25">
      <c r="A42" s="1">
        <v>45346</v>
      </c>
      <c r="B42" t="s">
        <v>6</v>
      </c>
      <c r="C42" t="s">
        <v>9</v>
      </c>
      <c r="D42">
        <v>115</v>
      </c>
      <c r="E42" s="7">
        <v>17500</v>
      </c>
      <c r="F42">
        <v>6</v>
      </c>
    </row>
    <row r="43" spans="1:6" x14ac:dyDescent="0.25">
      <c r="A43" s="1">
        <v>45347</v>
      </c>
      <c r="B43" t="s">
        <v>8</v>
      </c>
      <c r="C43" t="s">
        <v>11</v>
      </c>
      <c r="D43">
        <v>190</v>
      </c>
      <c r="E43" s="7">
        <v>14900</v>
      </c>
      <c r="F43">
        <v>2</v>
      </c>
    </row>
    <row r="44" spans="1:6" x14ac:dyDescent="0.25">
      <c r="A44" s="1">
        <v>45348</v>
      </c>
      <c r="B44" t="s">
        <v>10</v>
      </c>
      <c r="C44" t="s">
        <v>7</v>
      </c>
      <c r="D44">
        <v>85</v>
      </c>
      <c r="E44" s="7">
        <v>32500</v>
      </c>
      <c r="F44">
        <v>5</v>
      </c>
    </row>
    <row r="45" spans="1:6" x14ac:dyDescent="0.25">
      <c r="A45" s="1">
        <v>45349</v>
      </c>
      <c r="B45" t="s">
        <v>12</v>
      </c>
      <c r="C45" t="s">
        <v>9</v>
      </c>
      <c r="D45">
        <v>128</v>
      </c>
      <c r="E45" s="7">
        <v>19200</v>
      </c>
      <c r="F45">
        <v>7</v>
      </c>
    </row>
    <row r="46" spans="1:6" x14ac:dyDescent="0.25">
      <c r="A46" s="1">
        <v>45350</v>
      </c>
      <c r="B46" t="s">
        <v>6</v>
      </c>
      <c r="C46" t="s">
        <v>11</v>
      </c>
      <c r="D46">
        <v>218</v>
      </c>
      <c r="E46" s="7">
        <v>17000</v>
      </c>
      <c r="F46">
        <v>1</v>
      </c>
    </row>
    <row r="47" spans="1:6" x14ac:dyDescent="0.25">
      <c r="A47" s="1">
        <v>45351</v>
      </c>
      <c r="B47" t="s">
        <v>8</v>
      </c>
      <c r="C47" t="s">
        <v>7</v>
      </c>
      <c r="D47">
        <v>102</v>
      </c>
      <c r="E47" s="7">
        <v>41000</v>
      </c>
      <c r="F47">
        <v>6</v>
      </c>
    </row>
    <row r="48" spans="1:6" x14ac:dyDescent="0.25">
      <c r="A48" s="1">
        <v>45352</v>
      </c>
      <c r="B48" t="s">
        <v>10</v>
      </c>
      <c r="C48" t="s">
        <v>9</v>
      </c>
      <c r="D48">
        <v>153</v>
      </c>
      <c r="E48" s="7">
        <v>16800</v>
      </c>
      <c r="F48">
        <v>8</v>
      </c>
    </row>
    <row r="49" spans="1:6" x14ac:dyDescent="0.25">
      <c r="A49" s="1">
        <v>45353</v>
      </c>
      <c r="B49" t="s">
        <v>12</v>
      </c>
      <c r="C49" t="s">
        <v>11</v>
      </c>
      <c r="D49">
        <v>232</v>
      </c>
      <c r="E49" s="7">
        <v>18100</v>
      </c>
      <c r="F49">
        <v>3</v>
      </c>
    </row>
    <row r="50" spans="1:6" x14ac:dyDescent="0.25">
      <c r="A50" s="1">
        <v>45354</v>
      </c>
      <c r="B50" t="s">
        <v>6</v>
      </c>
      <c r="C50" t="s">
        <v>7</v>
      </c>
      <c r="D50">
        <v>95</v>
      </c>
      <c r="E50" s="7">
        <v>38200</v>
      </c>
      <c r="F50">
        <v>4</v>
      </c>
    </row>
    <row r="51" spans="1:6" x14ac:dyDescent="0.25">
      <c r="A51" s="1">
        <v>45355</v>
      </c>
      <c r="B51" t="s">
        <v>8</v>
      </c>
      <c r="C51" t="s">
        <v>9</v>
      </c>
      <c r="D51">
        <v>117</v>
      </c>
      <c r="E51" s="7">
        <v>18200</v>
      </c>
      <c r="F51">
        <v>5</v>
      </c>
    </row>
  </sheetData>
  <pageMargins left="0.7" right="0.7" top="0.75" bottom="0.75" header="0.3" footer="0.3"/>
  <pageSetup orientation="landscape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950B-BC38-453C-8B9D-2F0ACCB60581}">
  <dimension ref="A1:N5"/>
  <sheetViews>
    <sheetView workbookViewId="0">
      <selection activeCell="E4" sqref="E4"/>
    </sheetView>
  </sheetViews>
  <sheetFormatPr defaultRowHeight="15" x14ac:dyDescent="0.25"/>
  <cols>
    <col min="1" max="1" width="15" customWidth="1"/>
    <col min="2" max="2" width="17.85546875" customWidth="1"/>
    <col min="3" max="3" width="14.28515625" customWidth="1"/>
    <col min="4" max="4" width="15.42578125" customWidth="1"/>
    <col min="6" max="7" width="14.42578125" customWidth="1"/>
    <col min="8" max="8" width="14" customWidth="1"/>
    <col min="9" max="9" width="13.85546875" customWidth="1"/>
    <col min="11" max="11" width="10.140625" customWidth="1"/>
    <col min="12" max="12" width="13.28515625" customWidth="1"/>
    <col min="13" max="13" width="15.5703125" customWidth="1"/>
    <col min="14" max="14" width="15.85546875" customWidth="1"/>
  </cols>
  <sheetData>
    <row r="1" spans="1:14" x14ac:dyDescent="0.25">
      <c r="A1" s="8" t="s">
        <v>13</v>
      </c>
      <c r="B1" s="8" t="s">
        <v>14</v>
      </c>
      <c r="C1" s="8" t="s">
        <v>15</v>
      </c>
      <c r="D1" s="8" t="s">
        <v>16</v>
      </c>
      <c r="F1" s="2" t="s">
        <v>13</v>
      </c>
      <c r="G1" s="2" t="s">
        <v>14</v>
      </c>
      <c r="H1" s="2" t="s">
        <v>15</v>
      </c>
      <c r="I1" s="2" t="s">
        <v>16</v>
      </c>
      <c r="K1" s="2" t="s">
        <v>13</v>
      </c>
      <c r="L1" s="2" t="s">
        <v>14</v>
      </c>
      <c r="M1" s="2" t="s">
        <v>15</v>
      </c>
      <c r="N1" s="2" t="s">
        <v>22</v>
      </c>
    </row>
    <row r="2" spans="1:14" x14ac:dyDescent="0.25">
      <c r="A2" s="2" t="s">
        <v>17</v>
      </c>
      <c r="B2" s="2" t="s">
        <v>18</v>
      </c>
      <c r="C2" s="2">
        <f>SUMIFS(hyderabadsales[Units_Sold],hyderabadsales[Region],"EAST",hyderabadsales[Product_Category],"electronics")</f>
        <v>1706</v>
      </c>
      <c r="D2" s="6">
        <f>SUMIFS(hyderabadsales[Revenue],hyderabadsales[Region],"EAST",hyderabadsales[Product_Category],"electronics")</f>
        <v>190000</v>
      </c>
      <c r="F2" s="2" t="s">
        <v>17</v>
      </c>
      <c r="G2" s="2" t="s">
        <v>23</v>
      </c>
      <c r="H2" s="2">
        <f>SUMIFS(hyderabadsales[Units_Sold],hyderabadsales[Region],"EAST",hyderabadsales[Product_Category],"Apparel")</f>
        <v>425</v>
      </c>
      <c r="I2" s="6">
        <f>SUMIFS(hyderabadsales[Revenue],hyderabadsales[Region],"EAST",hyderabadsales[Product_Category],"apparel")</f>
        <v>65100</v>
      </c>
      <c r="K2" s="4" t="s">
        <v>17</v>
      </c>
      <c r="L2" t="s">
        <v>24</v>
      </c>
      <c r="M2">
        <f>SUMIFS(hyderabadsales[Units_Sold],hyderabadsales[Region],"EAST",hyderabadsales[Product_Category],"GROCERY")</f>
        <v>888</v>
      </c>
      <c r="N2" s="7">
        <f>SUMIFS(hyderabadsales[Revenue],hyderabadsales[Region],"EAST",hyderabadsales[Product_Category],"GROCERY")</f>
        <v>67800</v>
      </c>
    </row>
    <row r="3" spans="1:14" x14ac:dyDescent="0.25">
      <c r="A3" s="2" t="s">
        <v>19</v>
      </c>
      <c r="B3" s="2" t="s">
        <v>18</v>
      </c>
      <c r="C3" s="2">
        <f>SUMIFS(hyderabadsales[Units_Sold],hyderabadsales[Region],"WEST",hyderabadsales[Product_Category],"electronics")</f>
        <v>385</v>
      </c>
      <c r="D3" s="6">
        <f>SUMIFS(hyderabadsales[Revenue],hyderabadsales[Region],"WEST",hyderabadsales[Product_Category],"electronics")</f>
        <v>166500</v>
      </c>
      <c r="F3" s="2" t="s">
        <v>19</v>
      </c>
      <c r="G3" s="2" t="s">
        <v>23</v>
      </c>
      <c r="H3" s="2">
        <f>SUMIFS(hyderabadsales[Units_Sold],hyderabadsales[Region],"west",hyderabadsales[Product_Category],"Apparel")</f>
        <v>630</v>
      </c>
      <c r="I3" s="6">
        <f>SUMIFS(hyderabadsales[Revenue],hyderabadsales[Region],"west",hyderabadsales[Product_Category],"apparel")</f>
        <v>80400</v>
      </c>
      <c r="K3" s="5" t="s">
        <v>19</v>
      </c>
      <c r="L3" t="s">
        <v>24</v>
      </c>
      <c r="M3">
        <f>SUMIFS(hyderabadsales[Units_Sold],hyderabadsales[Region],"WEST",hyderabadsales[Product_Category],"GROCERY")</f>
        <v>770</v>
      </c>
      <c r="N3" s="7">
        <f>SUMIFS(hyderabadsales[Revenue],hyderabadsales[Region],"WEST",hyderabadsales[Product_Category],"GROCERY")</f>
        <v>60200</v>
      </c>
    </row>
    <row r="4" spans="1:14" x14ac:dyDescent="0.25">
      <c r="A4" s="2" t="s">
        <v>20</v>
      </c>
      <c r="B4" s="2" t="s">
        <v>18</v>
      </c>
      <c r="C4" s="2">
        <f>SUMIFS(hyderabadsales[Units_Sold],hyderabadsales[Region],"NORTH",hyderabadsales[Product_Category],"electronics")</f>
        <v>632</v>
      </c>
      <c r="D4" s="6">
        <f>SUMIFS(hyderabadsales[Revenue],hyderabadsales[Region],"NORTH",hyderabadsales[Product_Category],"electronics")</f>
        <v>126700</v>
      </c>
      <c r="F4" s="2" t="s">
        <v>20</v>
      </c>
      <c r="G4" s="2" t="s">
        <v>23</v>
      </c>
      <c r="H4" s="2">
        <f>SUMIFS(hyderabadsales[Units_Sold],hyderabadsales[Region],"north",hyderabadsales[Product_Category],"Apparel")</f>
        <v>911</v>
      </c>
      <c r="I4" s="6">
        <f>SUMIFS(hyderabadsales[Revenue],hyderabadsales[Region],"north",hyderabadsales[Product_Category],"apparel")</f>
        <v>61300</v>
      </c>
      <c r="K4" s="4" t="s">
        <v>20</v>
      </c>
      <c r="L4" t="s">
        <v>24</v>
      </c>
      <c r="M4">
        <f>SUMIFS(hyderabadsales[Units_Sold],hyderabadsales[Region],"NORTH",hyderabadsales[Product_Category],"GROCERY")</f>
        <v>955</v>
      </c>
      <c r="N4" s="7">
        <f>SUMIFS(hyderabadsales[Revenue],hyderabadsales[Region],"NORTH",hyderabadsales[Product_Category],"GROCERY")</f>
        <v>71900</v>
      </c>
    </row>
    <row r="5" spans="1:14" x14ac:dyDescent="0.25">
      <c r="A5" s="2" t="s">
        <v>21</v>
      </c>
      <c r="B5" s="2" t="s">
        <v>18</v>
      </c>
      <c r="C5" s="3">
        <f>SUMIFS(hyderabadsales[Units_Sold],hyderabadsales[Region],"SOUTH",hyderabadsales[Product_Category],"electronics")</f>
        <v>581</v>
      </c>
      <c r="D5" s="6">
        <f>SUMIFS(hyderabadsales[Revenue],hyderabadsales[Region],"SOUTH",hyderabadsales[Product_Category],"electronics")</f>
        <v>172500</v>
      </c>
      <c r="F5" s="2" t="s">
        <v>21</v>
      </c>
      <c r="G5" s="2" t="s">
        <v>23</v>
      </c>
      <c r="H5" s="3">
        <f>SUMIFS(hyderabadsales[Units_Sold],hyderabadsales[Region],"south",hyderabadsales[Product_Category],"Apparel")</f>
        <v>525</v>
      </c>
      <c r="I5" s="6">
        <f>SUMIFS(hyderabadsales[Revenue],hyderabadsales[Region],"south",hyderabadsales[Product_Category],"apparel")</f>
        <v>77700</v>
      </c>
      <c r="K5" s="5" t="s">
        <v>21</v>
      </c>
      <c r="L5" t="s">
        <v>24</v>
      </c>
      <c r="M5">
        <f>SUMIFS(hyderabadsales[Units_Sold],hyderabadsales[Region],"SOUTH",hyderabadsales[Product_Category],"GROCERY")</f>
        <v>887</v>
      </c>
      <c r="N5" s="7">
        <f>SUMIFS(hyderabadsales[Revenue],hyderabadsales[Region],"SOUTH",hyderabadsales[Product_Category],"GROCERY")</f>
        <v>68700</v>
      </c>
    </row>
  </sheetData>
  <pageMargins left="0.7" right="0.7" top="0.75" bottom="0.75" header="0.3" footer="0.3"/>
  <pageSetup orientation="landscape" r:id="rId1"/>
  <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503D-6A62-4F2E-AE35-27D4E3074B35}">
  <dimension ref="A1:A25"/>
  <sheetViews>
    <sheetView tabSelected="1" workbookViewId="0">
      <selection activeCell="B5" sqref="B5"/>
    </sheetView>
  </sheetViews>
  <sheetFormatPr defaultRowHeight="15" x14ac:dyDescent="0.25"/>
  <cols>
    <col min="1" max="1" width="123.28515625" customWidth="1"/>
  </cols>
  <sheetData>
    <row r="1" spans="1:1" x14ac:dyDescent="0.25">
      <c r="A1" s="2" t="s">
        <v>29</v>
      </c>
    </row>
    <row r="3" spans="1:1" x14ac:dyDescent="0.25">
      <c r="A3" s="2" t="s">
        <v>30</v>
      </c>
    </row>
    <row r="4" spans="1:1" x14ac:dyDescent="0.25">
      <c r="A4" s="25"/>
    </row>
    <row r="5" spans="1:1" x14ac:dyDescent="0.25">
      <c r="A5" s="25" t="s">
        <v>31</v>
      </c>
    </row>
    <row r="6" spans="1:1" x14ac:dyDescent="0.25">
      <c r="A6" s="25"/>
    </row>
    <row r="7" spans="1:1" x14ac:dyDescent="0.25">
      <c r="A7" s="25" t="s">
        <v>32</v>
      </c>
    </row>
    <row r="8" spans="1:1" x14ac:dyDescent="0.25">
      <c r="A8" s="25"/>
    </row>
    <row r="9" spans="1:1" x14ac:dyDescent="0.25">
      <c r="A9" s="25" t="s">
        <v>33</v>
      </c>
    </row>
    <row r="11" spans="1:1" x14ac:dyDescent="0.25">
      <c r="A11" s="2" t="s">
        <v>34</v>
      </c>
    </row>
    <row r="12" spans="1:1" x14ac:dyDescent="0.25">
      <c r="A12" s="25"/>
    </row>
    <row r="13" spans="1:1" x14ac:dyDescent="0.25">
      <c r="A13" s="25" t="s">
        <v>35</v>
      </c>
    </row>
    <row r="14" spans="1:1" x14ac:dyDescent="0.25">
      <c r="A14" s="25"/>
    </row>
    <row r="15" spans="1:1" x14ac:dyDescent="0.25">
      <c r="A15" s="25" t="s">
        <v>36</v>
      </c>
    </row>
    <row r="16" spans="1:1" x14ac:dyDescent="0.25">
      <c r="A16" s="25"/>
    </row>
    <row r="17" spans="1:1" x14ac:dyDescent="0.25">
      <c r="A17" s="25" t="s">
        <v>37</v>
      </c>
    </row>
    <row r="19" spans="1:1" x14ac:dyDescent="0.25">
      <c r="A19" s="2" t="s">
        <v>38</v>
      </c>
    </row>
    <row r="20" spans="1:1" x14ac:dyDescent="0.25">
      <c r="A20" s="25"/>
    </row>
    <row r="21" spans="1:1" x14ac:dyDescent="0.25">
      <c r="A21" s="25" t="s">
        <v>39</v>
      </c>
    </row>
    <row r="22" spans="1:1" x14ac:dyDescent="0.25">
      <c r="A22" s="25"/>
    </row>
    <row r="23" spans="1:1" x14ac:dyDescent="0.25">
      <c r="A23" s="25" t="s">
        <v>40</v>
      </c>
    </row>
    <row r="24" spans="1:1" x14ac:dyDescent="0.25">
      <c r="A24" s="25"/>
    </row>
    <row r="25" spans="1:1" x14ac:dyDescent="0.25">
      <c r="A25" s="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MINI PROJECT 1</vt:lpstr>
      <vt:lpstr>Sheet1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Rahul Yelma</cp:lastModifiedBy>
  <dcterms:created xsi:type="dcterms:W3CDTF">2026-04-14T13:01:50Z</dcterms:created>
  <dcterms:modified xsi:type="dcterms:W3CDTF">2026-04-14T14:48:39Z</dcterms:modified>
</cp:coreProperties>
</file>